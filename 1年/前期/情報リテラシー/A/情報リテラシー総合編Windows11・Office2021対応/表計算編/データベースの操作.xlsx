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Kagawa Uni/情報リテラシー/A/情報リテラシー総合編Windows11・Office2021対応/表計算編/"/>
    </mc:Choice>
  </mc:AlternateContent>
  <xr:revisionPtr revIDLastSave="44" documentId="13_ncr:1_{563F5F73-E68F-4948-A838-D3A1E812B2DC}" xr6:coauthVersionLast="47" xr6:coauthVersionMax="47" xr10:uidLastSave="{A9CBE50D-B46E-4D96-8CA1-FA90651DC1AF}"/>
  <bookViews>
    <workbookView xWindow="-120" yWindow="-120" windowWidth="20730" windowHeight="11040" activeTab="1" xr2:uid="{34CBBB37-FC4B-4582-9694-33DAC6992FD7}"/>
  </bookViews>
  <sheets>
    <sheet name="並べ替えとフィルター" sheetId="1" r:id="rId1"/>
    <sheet name="集計" sheetId="2" r:id="rId2"/>
  </sheets>
  <definedNames>
    <definedName name="_xlnm._FilterDatabase" localSheetId="0" hidden="1">並べ替えとフィルター!$A$3:$I$30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0" i="2" l="1"/>
  <c r="G70" i="2"/>
  <c r="H53" i="2"/>
  <c r="G53" i="2"/>
  <c r="H37" i="2"/>
  <c r="G37" i="2"/>
  <c r="H20" i="2"/>
  <c r="H72" i="2" s="1"/>
  <c r="G20" i="2"/>
  <c r="G72" i="2" s="1"/>
  <c r="H71" i="2"/>
  <c r="G71" i="2"/>
  <c r="H54" i="2"/>
  <c r="G54" i="2"/>
  <c r="H38" i="2"/>
  <c r="G38" i="2"/>
  <c r="H21" i="2"/>
  <c r="G21" i="2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73" i="2" l="1"/>
  <c r="H73" i="2"/>
</calcChain>
</file>

<file path=xl/sharedStrings.xml><?xml version="1.0" encoding="utf-8"?>
<sst xmlns="http://schemas.openxmlformats.org/spreadsheetml/2006/main" count="290" uniqueCount="67">
  <si>
    <t>横浜市沿線別住宅情報</t>
    <rPh sb="0" eb="3">
      <t>ヨコハマシ</t>
    </rPh>
    <rPh sb="3" eb="5">
      <t>エンセン</t>
    </rPh>
    <rPh sb="5" eb="6">
      <t>ベツ</t>
    </rPh>
    <rPh sb="6" eb="8">
      <t>ジュウタク</t>
    </rPh>
    <rPh sb="8" eb="10">
      <t>ジョウホウ</t>
    </rPh>
    <phoneticPr fontId="3"/>
  </si>
  <si>
    <t>管理No.</t>
    <rPh sb="0" eb="2">
      <t>カンリ</t>
    </rPh>
    <phoneticPr fontId="3"/>
  </si>
  <si>
    <t>沿線</t>
    <rPh sb="0" eb="2">
      <t>エンセン</t>
    </rPh>
    <phoneticPr fontId="3"/>
  </si>
  <si>
    <t>最寄駅</t>
    <rPh sb="0" eb="3">
      <t>モヨリエキ</t>
    </rPh>
    <phoneticPr fontId="3"/>
  </si>
  <si>
    <t>徒歩（分）</t>
    <rPh sb="0" eb="2">
      <t>トホ</t>
    </rPh>
    <rPh sb="3" eb="4">
      <t>フン</t>
    </rPh>
    <phoneticPr fontId="3"/>
  </si>
  <si>
    <t>賃料</t>
    <rPh sb="0" eb="2">
      <t>チンリョウ</t>
    </rPh>
    <phoneticPr fontId="3"/>
  </si>
  <si>
    <t>管理費</t>
    <rPh sb="0" eb="3">
      <t>カンリヒ</t>
    </rPh>
    <phoneticPr fontId="3"/>
  </si>
  <si>
    <t>毎月支払額</t>
    <rPh sb="0" eb="2">
      <t>マイツキ</t>
    </rPh>
    <rPh sb="2" eb="4">
      <t>シハライ</t>
    </rPh>
    <rPh sb="4" eb="5">
      <t>ガク</t>
    </rPh>
    <phoneticPr fontId="3"/>
  </si>
  <si>
    <t>間取り</t>
    <rPh sb="0" eb="2">
      <t>マド</t>
    </rPh>
    <phoneticPr fontId="3"/>
  </si>
  <si>
    <t>築年月</t>
    <rPh sb="0" eb="1">
      <t>チク</t>
    </rPh>
    <rPh sb="1" eb="3">
      <t>ネンゲツ</t>
    </rPh>
    <phoneticPr fontId="3"/>
  </si>
  <si>
    <t>市営地下鉄</t>
    <rPh sb="0" eb="5">
      <t>シエイチカテツ</t>
    </rPh>
    <phoneticPr fontId="3"/>
  </si>
  <si>
    <t>中川</t>
    <rPh sb="0" eb="2">
      <t>ナカガワ</t>
    </rPh>
    <phoneticPr fontId="3"/>
  </si>
  <si>
    <t>1LDK</t>
  </si>
  <si>
    <t>田園都市線</t>
    <rPh sb="0" eb="5">
      <t>デンエントシセン</t>
    </rPh>
    <phoneticPr fontId="3"/>
  </si>
  <si>
    <t>青葉台</t>
    <rPh sb="0" eb="3">
      <t>アオバダイ</t>
    </rPh>
    <phoneticPr fontId="3"/>
  </si>
  <si>
    <t>4LDK</t>
  </si>
  <si>
    <t>センター南</t>
    <rPh sb="4" eb="5">
      <t>ミナミ</t>
    </rPh>
    <phoneticPr fontId="3"/>
  </si>
  <si>
    <t>新横浜</t>
    <rPh sb="0" eb="3">
      <t>シンヨコハマ</t>
    </rPh>
    <phoneticPr fontId="3"/>
  </si>
  <si>
    <t>1DK</t>
  </si>
  <si>
    <t>あざみ野</t>
    <rPh sb="3" eb="4">
      <t>ノ</t>
    </rPh>
    <phoneticPr fontId="3"/>
  </si>
  <si>
    <t>根岸線</t>
    <rPh sb="0" eb="3">
      <t>ネギシセン</t>
    </rPh>
    <phoneticPr fontId="3"/>
  </si>
  <si>
    <t>関内</t>
    <rPh sb="0" eb="2">
      <t>カンナイ</t>
    </rPh>
    <phoneticPr fontId="3"/>
  </si>
  <si>
    <t>東横線</t>
    <rPh sb="0" eb="3">
      <t>トウヨコセン</t>
    </rPh>
    <phoneticPr fontId="3"/>
  </si>
  <si>
    <t>日吉</t>
    <rPh sb="0" eb="2">
      <t>ヒヨシ</t>
    </rPh>
    <phoneticPr fontId="3"/>
  </si>
  <si>
    <t>2LDK</t>
  </si>
  <si>
    <t>菊名</t>
    <rPh sb="0" eb="2">
      <t>キクナ</t>
    </rPh>
    <phoneticPr fontId="3"/>
  </si>
  <si>
    <t>3LDK</t>
  </si>
  <si>
    <t>大倉山</t>
    <rPh sb="0" eb="2">
      <t>オオクラ</t>
    </rPh>
    <rPh sb="2" eb="3">
      <t>ヤマ</t>
    </rPh>
    <phoneticPr fontId="3"/>
  </si>
  <si>
    <t>2DK</t>
  </si>
  <si>
    <t>石川町</t>
    <rPh sb="0" eb="3">
      <t>イシカワチョウ</t>
    </rPh>
    <phoneticPr fontId="3"/>
  </si>
  <si>
    <t>綱島</t>
    <rPh sb="0" eb="2">
      <t>ツナシマ</t>
    </rPh>
    <phoneticPr fontId="3"/>
  </si>
  <si>
    <t>3DK</t>
  </si>
  <si>
    <t>5LDK</t>
  </si>
  <si>
    <t>セミナー実施状況</t>
    <rPh sb="4" eb="6">
      <t>ジッシ</t>
    </rPh>
    <rPh sb="6" eb="8">
      <t>ジョウキョウ</t>
    </rPh>
    <phoneticPr fontId="3"/>
  </si>
  <si>
    <t>No.</t>
    <phoneticPr fontId="3"/>
  </si>
  <si>
    <t>開催日</t>
    <rPh sb="0" eb="3">
      <t>カイサイビ</t>
    </rPh>
    <phoneticPr fontId="3"/>
  </si>
  <si>
    <t>開催地区</t>
    <rPh sb="0" eb="2">
      <t>カイサイ</t>
    </rPh>
    <rPh sb="2" eb="4">
      <t>チク</t>
    </rPh>
    <phoneticPr fontId="3"/>
  </si>
  <si>
    <t>セミナー</t>
    <phoneticPr fontId="3"/>
  </si>
  <si>
    <t>分野</t>
    <rPh sb="0" eb="2">
      <t>ブンヤ</t>
    </rPh>
    <phoneticPr fontId="3"/>
  </si>
  <si>
    <t>参加費</t>
    <rPh sb="0" eb="3">
      <t>サンカヒ</t>
    </rPh>
    <phoneticPr fontId="3"/>
  </si>
  <si>
    <t>参加者数</t>
    <rPh sb="0" eb="3">
      <t>サンカシャ</t>
    </rPh>
    <rPh sb="3" eb="4">
      <t>スウ</t>
    </rPh>
    <phoneticPr fontId="3"/>
  </si>
  <si>
    <t>金額</t>
    <rPh sb="0" eb="2">
      <t>キンガク</t>
    </rPh>
    <phoneticPr fontId="3"/>
  </si>
  <si>
    <t>南区</t>
    <rPh sb="0" eb="2">
      <t>ミナミク</t>
    </rPh>
    <phoneticPr fontId="3"/>
  </si>
  <si>
    <t>インターネット体験</t>
    <rPh sb="7" eb="9">
      <t>タイケン</t>
    </rPh>
    <phoneticPr fontId="3"/>
  </si>
  <si>
    <t>パソコン</t>
    <phoneticPr fontId="3"/>
  </si>
  <si>
    <t>東区</t>
    <rPh sb="0" eb="2">
      <t>ヒガシク</t>
    </rPh>
    <phoneticPr fontId="3"/>
  </si>
  <si>
    <t>手話・初級</t>
    <rPh sb="0" eb="2">
      <t>シュワ</t>
    </rPh>
    <rPh sb="3" eb="5">
      <t>ショキュウ</t>
    </rPh>
    <phoneticPr fontId="3"/>
  </si>
  <si>
    <t>手話</t>
    <rPh sb="0" eb="2">
      <t>シュワ</t>
    </rPh>
    <phoneticPr fontId="3"/>
  </si>
  <si>
    <t>手話・中級</t>
    <rPh sb="0" eb="2">
      <t>シュワ</t>
    </rPh>
    <rPh sb="3" eb="5">
      <t>チュウキュウ</t>
    </rPh>
    <phoneticPr fontId="3"/>
  </si>
  <si>
    <t>西区</t>
    <rPh sb="0" eb="2">
      <t>ニシク</t>
    </rPh>
    <phoneticPr fontId="3"/>
  </si>
  <si>
    <t>パソコン入門</t>
    <rPh sb="4" eb="6">
      <t>ニュウモン</t>
    </rPh>
    <phoneticPr fontId="3"/>
  </si>
  <si>
    <t>北区</t>
    <rPh sb="0" eb="2">
      <t>キタク</t>
    </rPh>
    <phoneticPr fontId="3"/>
  </si>
  <si>
    <t>Excel&amp;Word体験</t>
    <rPh sb="10" eb="12">
      <t>タイケン</t>
    </rPh>
    <phoneticPr fontId="3"/>
  </si>
  <si>
    <t>成人病対策料理</t>
    <rPh sb="0" eb="3">
      <t>セイジンビョウ</t>
    </rPh>
    <rPh sb="3" eb="5">
      <t>タイサク</t>
    </rPh>
    <rPh sb="5" eb="7">
      <t>リョウリ</t>
    </rPh>
    <phoneticPr fontId="3"/>
  </si>
  <si>
    <t>健康</t>
    <rPh sb="0" eb="2">
      <t>ケンコウ</t>
    </rPh>
    <phoneticPr fontId="3"/>
  </si>
  <si>
    <t>手話・上級</t>
    <rPh sb="0" eb="2">
      <t>シュワ</t>
    </rPh>
    <rPh sb="3" eb="5">
      <t>ジョウキュウ</t>
    </rPh>
    <phoneticPr fontId="3"/>
  </si>
  <si>
    <t>リラックス・ヨガ</t>
    <phoneticPr fontId="3"/>
  </si>
  <si>
    <t>北区 Total</t>
  </si>
  <si>
    <t>西区 Total</t>
  </si>
  <si>
    <t>東区 Total</t>
  </si>
  <si>
    <t>南区 Total</t>
  </si>
  <si>
    <t>Grand Total</t>
  </si>
  <si>
    <t>北区 Average</t>
  </si>
  <si>
    <t>西区 Average</t>
  </si>
  <si>
    <t>東区 Average</t>
  </si>
  <si>
    <t>南区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</si>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</sst>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;[Red]&quot;¥&quot;\-#,##0"/>
    <numFmt numFmtId="177" formatCode="yyyy&quot;年&quot;m&quot;月&quot;;@"/>
    <numFmt numFmtId="178" formatCode="m&quot;月&quot;d&quot;日&quot;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8" tint="-0.499984740745262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1" xfId="2" applyFont="1" applyBorder="1">
      <alignment vertical="center"/>
    </xf>
    <xf numFmtId="177" fontId="0" fillId="0" borderId="1" xfId="0" applyNumberFormat="1" applyBorder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38" fontId="0" fillId="0" borderId="1" xfId="1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1" xfId="0" applyFont="1" applyBorder="1">
      <alignment vertical="center"/>
    </xf>
    <xf numFmtId="178" fontId="0" fillId="0" borderId="0" xfId="0" applyNumberFormat="1" applyBorder="1">
      <alignment vertical="center"/>
    </xf>
    <xf numFmtId="38" fontId="0" fillId="0" borderId="0" xfId="1" applyFont="1" applyBorder="1">
      <alignment vertical="center"/>
    </xf>
    <xf numFmtId="0" fontId="6" fillId="0" borderId="0" xfId="0" applyFont="1" applyBorder="1">
      <alignment vertical="center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C5A0-8E26-4C7E-8C2E-2175581560A8}">
  <dimension ref="A1:I30"/>
  <sheetViews>
    <sheetView workbookViewId="0">
      <selection activeCell="M9" sqref="M9"/>
    </sheetView>
  </sheetViews>
  <sheetFormatPr defaultRowHeight="18.75" x14ac:dyDescent="0.4"/>
  <cols>
    <col min="1" max="1" width="10.25" customWidth="1"/>
    <col min="2" max="4" width="11" bestFit="1" customWidth="1"/>
    <col min="5" max="6" width="11.375" customWidth="1"/>
    <col min="7" max="7" width="14.875" customWidth="1"/>
    <col min="8" max="8" width="10.375" customWidth="1"/>
    <col min="9" max="9" width="11.375" bestFit="1" customWidth="1"/>
  </cols>
  <sheetData>
    <row r="1" spans="1:9" ht="25.5" x14ac:dyDescent="0.4">
      <c r="A1" s="1" t="s">
        <v>0</v>
      </c>
      <c r="E1" s="10"/>
    </row>
    <row r="3" spans="1:9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9" x14ac:dyDescent="0.4">
      <c r="A4" s="2">
        <v>1</v>
      </c>
      <c r="B4" s="2" t="s">
        <v>10</v>
      </c>
      <c r="C4" s="2" t="s">
        <v>11</v>
      </c>
      <c r="D4" s="2">
        <v>5</v>
      </c>
      <c r="E4" s="3">
        <v>78000</v>
      </c>
      <c r="F4" s="3">
        <v>3000</v>
      </c>
      <c r="G4" s="3">
        <f>E4+F4</f>
        <v>81000</v>
      </c>
      <c r="H4" s="2" t="s">
        <v>12</v>
      </c>
      <c r="I4" s="4">
        <v>40634</v>
      </c>
    </row>
    <row r="5" spans="1:9" x14ac:dyDescent="0.4">
      <c r="A5" s="2">
        <v>2</v>
      </c>
      <c r="B5" s="2" t="s">
        <v>13</v>
      </c>
      <c r="C5" s="2" t="s">
        <v>14</v>
      </c>
      <c r="D5" s="2">
        <v>13</v>
      </c>
      <c r="E5" s="3">
        <v>175000</v>
      </c>
      <c r="F5" s="3">
        <v>0</v>
      </c>
      <c r="G5" s="3">
        <f>E5+F5</f>
        <v>175000</v>
      </c>
      <c r="H5" s="2" t="s">
        <v>15</v>
      </c>
      <c r="I5" s="4">
        <v>43983</v>
      </c>
    </row>
    <row r="6" spans="1:9" x14ac:dyDescent="0.4">
      <c r="A6" s="2">
        <v>3</v>
      </c>
      <c r="B6" s="2" t="s">
        <v>10</v>
      </c>
      <c r="C6" s="2" t="s">
        <v>16</v>
      </c>
      <c r="D6" s="2">
        <v>10</v>
      </c>
      <c r="E6" s="3">
        <v>90000</v>
      </c>
      <c r="F6" s="3">
        <v>0</v>
      </c>
      <c r="G6" s="3">
        <f>E6+F6</f>
        <v>90000</v>
      </c>
      <c r="H6" s="2" t="s">
        <v>12</v>
      </c>
      <c r="I6" s="4">
        <v>40238</v>
      </c>
    </row>
    <row r="7" spans="1:9" x14ac:dyDescent="0.4">
      <c r="A7" s="2">
        <v>4</v>
      </c>
      <c r="B7" s="2" t="s">
        <v>10</v>
      </c>
      <c r="C7" s="2" t="s">
        <v>17</v>
      </c>
      <c r="D7" s="2">
        <v>15</v>
      </c>
      <c r="E7" s="3">
        <v>79000</v>
      </c>
      <c r="F7" s="3">
        <v>9000</v>
      </c>
      <c r="G7" s="3">
        <f>E7+F7</f>
        <v>88000</v>
      </c>
      <c r="H7" s="2" t="s">
        <v>18</v>
      </c>
      <c r="I7" s="4">
        <v>39661</v>
      </c>
    </row>
    <row r="8" spans="1:9" x14ac:dyDescent="0.4">
      <c r="A8" s="2">
        <v>5</v>
      </c>
      <c r="B8" s="2" t="s">
        <v>13</v>
      </c>
      <c r="C8" s="2" t="s">
        <v>19</v>
      </c>
      <c r="D8" s="2">
        <v>10</v>
      </c>
      <c r="E8" s="3">
        <v>69000</v>
      </c>
      <c r="F8" s="3">
        <v>0</v>
      </c>
      <c r="G8" s="3">
        <f>E8+F8</f>
        <v>69000</v>
      </c>
      <c r="H8" s="2" t="s">
        <v>18</v>
      </c>
      <c r="I8" s="4">
        <v>40664</v>
      </c>
    </row>
    <row r="9" spans="1:9" x14ac:dyDescent="0.4">
      <c r="A9" s="2">
        <v>6</v>
      </c>
      <c r="B9" s="2" t="s">
        <v>20</v>
      </c>
      <c r="C9" s="2" t="s">
        <v>21</v>
      </c>
      <c r="D9" s="2">
        <v>10</v>
      </c>
      <c r="E9" s="3">
        <v>72000</v>
      </c>
      <c r="F9" s="3">
        <v>1500</v>
      </c>
      <c r="G9" s="3">
        <f>E9+F9</f>
        <v>73500</v>
      </c>
      <c r="H9" s="2" t="s">
        <v>18</v>
      </c>
      <c r="I9" s="4">
        <v>38412</v>
      </c>
    </row>
    <row r="10" spans="1:9" x14ac:dyDescent="0.4">
      <c r="A10" s="2">
        <v>7</v>
      </c>
      <c r="B10" s="2" t="s">
        <v>22</v>
      </c>
      <c r="C10" s="2" t="s">
        <v>23</v>
      </c>
      <c r="D10" s="2">
        <v>5</v>
      </c>
      <c r="E10" s="3">
        <v>120000</v>
      </c>
      <c r="F10" s="3">
        <v>6000</v>
      </c>
      <c r="G10" s="3">
        <f>E10+F10</f>
        <v>126000</v>
      </c>
      <c r="H10" s="2" t="s">
        <v>24</v>
      </c>
      <c r="I10" s="4">
        <v>40026</v>
      </c>
    </row>
    <row r="11" spans="1:9" x14ac:dyDescent="0.4">
      <c r="A11" s="2">
        <v>8</v>
      </c>
      <c r="B11" s="2" t="s">
        <v>22</v>
      </c>
      <c r="C11" s="2" t="s">
        <v>25</v>
      </c>
      <c r="D11" s="2">
        <v>2</v>
      </c>
      <c r="E11" s="3">
        <v>130000</v>
      </c>
      <c r="F11" s="3">
        <v>6000</v>
      </c>
      <c r="G11" s="3">
        <f>E11+F11</f>
        <v>136000</v>
      </c>
      <c r="H11" s="2" t="s">
        <v>26</v>
      </c>
      <c r="I11" s="4">
        <v>43586</v>
      </c>
    </row>
    <row r="12" spans="1:9" x14ac:dyDescent="0.4">
      <c r="A12" s="2">
        <v>9</v>
      </c>
      <c r="B12" s="2" t="s">
        <v>22</v>
      </c>
      <c r="C12" s="2" t="s">
        <v>27</v>
      </c>
      <c r="D12" s="2">
        <v>8</v>
      </c>
      <c r="E12" s="3">
        <v>65000</v>
      </c>
      <c r="F12" s="3">
        <v>8000</v>
      </c>
      <c r="G12" s="3">
        <f>E12+F12</f>
        <v>73000</v>
      </c>
      <c r="H12" s="2" t="s">
        <v>28</v>
      </c>
      <c r="I12" s="4">
        <v>38200</v>
      </c>
    </row>
    <row r="13" spans="1:9" x14ac:dyDescent="0.4">
      <c r="A13" s="2">
        <v>10</v>
      </c>
      <c r="B13" s="2" t="s">
        <v>20</v>
      </c>
      <c r="C13" s="2" t="s">
        <v>29</v>
      </c>
      <c r="D13" s="2">
        <v>7</v>
      </c>
      <c r="E13" s="3">
        <v>49000</v>
      </c>
      <c r="F13" s="3">
        <v>5000</v>
      </c>
      <c r="G13" s="3">
        <f>E13+F13</f>
        <v>54000</v>
      </c>
      <c r="H13" s="2" t="s">
        <v>28</v>
      </c>
      <c r="I13" s="4">
        <v>41456</v>
      </c>
    </row>
    <row r="14" spans="1:9" x14ac:dyDescent="0.4">
      <c r="A14" s="2">
        <v>11</v>
      </c>
      <c r="B14" s="2" t="s">
        <v>22</v>
      </c>
      <c r="C14" s="2" t="s">
        <v>30</v>
      </c>
      <c r="D14" s="2">
        <v>4</v>
      </c>
      <c r="E14" s="3">
        <v>200000</v>
      </c>
      <c r="F14" s="3">
        <v>15000</v>
      </c>
      <c r="G14" s="3">
        <f>E14+F14</f>
        <v>215000</v>
      </c>
      <c r="H14" s="2" t="s">
        <v>31</v>
      </c>
      <c r="I14" s="4">
        <v>43709</v>
      </c>
    </row>
    <row r="15" spans="1:9" x14ac:dyDescent="0.4">
      <c r="A15" s="2">
        <v>12</v>
      </c>
      <c r="B15" s="2" t="s">
        <v>13</v>
      </c>
      <c r="C15" s="2" t="s">
        <v>14</v>
      </c>
      <c r="D15" s="2">
        <v>4</v>
      </c>
      <c r="E15" s="3">
        <v>150000</v>
      </c>
      <c r="F15" s="3">
        <v>9000</v>
      </c>
      <c r="G15" s="3">
        <f>E15+F15</f>
        <v>159000</v>
      </c>
      <c r="H15" s="2" t="s">
        <v>26</v>
      </c>
      <c r="I15" s="4">
        <v>38838</v>
      </c>
    </row>
    <row r="16" spans="1:9" x14ac:dyDescent="0.4">
      <c r="A16" s="2">
        <v>13</v>
      </c>
      <c r="B16" s="2" t="s">
        <v>10</v>
      </c>
      <c r="C16" s="2" t="s">
        <v>16</v>
      </c>
      <c r="D16" s="2">
        <v>1</v>
      </c>
      <c r="E16" s="3">
        <v>100000</v>
      </c>
      <c r="F16" s="3">
        <v>0</v>
      </c>
      <c r="G16" s="3">
        <f>E16+F16</f>
        <v>100000</v>
      </c>
      <c r="H16" s="2" t="s">
        <v>26</v>
      </c>
      <c r="I16" s="4">
        <v>42917</v>
      </c>
    </row>
    <row r="17" spans="1:9" x14ac:dyDescent="0.4">
      <c r="A17" s="2">
        <v>14</v>
      </c>
      <c r="B17" s="2" t="s">
        <v>10</v>
      </c>
      <c r="C17" s="2" t="s">
        <v>17</v>
      </c>
      <c r="D17" s="2">
        <v>3</v>
      </c>
      <c r="E17" s="3">
        <v>100000</v>
      </c>
      <c r="F17" s="3">
        <v>12000</v>
      </c>
      <c r="G17" s="3">
        <f>E17+F17</f>
        <v>112000</v>
      </c>
      <c r="H17" s="2" t="s">
        <v>26</v>
      </c>
      <c r="I17" s="4">
        <v>39692</v>
      </c>
    </row>
    <row r="18" spans="1:9" x14ac:dyDescent="0.4">
      <c r="A18" s="2">
        <v>15</v>
      </c>
      <c r="B18" s="2" t="s">
        <v>13</v>
      </c>
      <c r="C18" s="2" t="s">
        <v>19</v>
      </c>
      <c r="D18" s="2">
        <v>18</v>
      </c>
      <c r="E18" s="3">
        <v>130000</v>
      </c>
      <c r="F18" s="3">
        <v>9000</v>
      </c>
      <c r="G18" s="3">
        <f>E18+F18</f>
        <v>139000</v>
      </c>
      <c r="H18" s="2" t="s">
        <v>15</v>
      </c>
      <c r="I18" s="4">
        <v>40878</v>
      </c>
    </row>
    <row r="19" spans="1:9" x14ac:dyDescent="0.4">
      <c r="A19" s="2">
        <v>16</v>
      </c>
      <c r="B19" s="2" t="s">
        <v>22</v>
      </c>
      <c r="C19" s="2" t="s">
        <v>25</v>
      </c>
      <c r="D19" s="2">
        <v>6</v>
      </c>
      <c r="E19" s="3">
        <v>80000</v>
      </c>
      <c r="F19" s="3">
        <v>5500</v>
      </c>
      <c r="G19" s="3">
        <f>E19+F19</f>
        <v>85500</v>
      </c>
      <c r="H19" s="2" t="s">
        <v>24</v>
      </c>
      <c r="I19" s="4">
        <v>39326</v>
      </c>
    </row>
    <row r="20" spans="1:9" x14ac:dyDescent="0.4">
      <c r="A20" s="2">
        <v>17</v>
      </c>
      <c r="B20" s="2" t="s">
        <v>10</v>
      </c>
      <c r="C20" s="2" t="s">
        <v>11</v>
      </c>
      <c r="D20" s="2">
        <v>15</v>
      </c>
      <c r="E20" s="3">
        <v>55000</v>
      </c>
      <c r="F20" s="3">
        <v>3000</v>
      </c>
      <c r="G20" s="3">
        <f>E20+F20</f>
        <v>58000</v>
      </c>
      <c r="H20" s="2" t="s">
        <v>28</v>
      </c>
      <c r="I20" s="4">
        <v>40210</v>
      </c>
    </row>
    <row r="21" spans="1:9" x14ac:dyDescent="0.4">
      <c r="A21" s="2">
        <v>18</v>
      </c>
      <c r="B21" s="2" t="s">
        <v>22</v>
      </c>
      <c r="C21" s="2" t="s">
        <v>27</v>
      </c>
      <c r="D21" s="2">
        <v>9</v>
      </c>
      <c r="E21" s="3">
        <v>180000</v>
      </c>
      <c r="F21" s="3">
        <v>8000</v>
      </c>
      <c r="G21" s="3">
        <f>E21+F21</f>
        <v>188000</v>
      </c>
      <c r="H21" s="2" t="s">
        <v>31</v>
      </c>
      <c r="I21" s="4">
        <v>38777</v>
      </c>
    </row>
    <row r="22" spans="1:9" x14ac:dyDescent="0.4">
      <c r="A22" s="2">
        <v>19</v>
      </c>
      <c r="B22" s="2" t="s">
        <v>20</v>
      </c>
      <c r="C22" s="2" t="s">
        <v>29</v>
      </c>
      <c r="D22" s="2">
        <v>6</v>
      </c>
      <c r="E22" s="3">
        <v>150000</v>
      </c>
      <c r="F22" s="3">
        <v>7000</v>
      </c>
      <c r="G22" s="3">
        <f>E22+F22</f>
        <v>157000</v>
      </c>
      <c r="H22" s="2" t="s">
        <v>31</v>
      </c>
      <c r="I22" s="4">
        <v>37773</v>
      </c>
    </row>
    <row r="23" spans="1:9" x14ac:dyDescent="0.4">
      <c r="A23" s="2">
        <v>20</v>
      </c>
      <c r="B23" s="2" t="s">
        <v>22</v>
      </c>
      <c r="C23" s="2" t="s">
        <v>30</v>
      </c>
      <c r="D23" s="2">
        <v>17</v>
      </c>
      <c r="E23" s="3">
        <v>320000</v>
      </c>
      <c r="F23" s="3">
        <v>15000</v>
      </c>
      <c r="G23" s="3">
        <f>E23+F23</f>
        <v>335000</v>
      </c>
      <c r="H23" s="2" t="s">
        <v>32</v>
      </c>
      <c r="I23" s="4">
        <v>43160</v>
      </c>
    </row>
    <row r="24" spans="1:9" x14ac:dyDescent="0.4">
      <c r="A24" s="2">
        <v>21</v>
      </c>
      <c r="B24" s="2" t="s">
        <v>22</v>
      </c>
      <c r="C24" s="2" t="s">
        <v>23</v>
      </c>
      <c r="D24" s="2">
        <v>14</v>
      </c>
      <c r="E24" s="3">
        <v>100000</v>
      </c>
      <c r="F24" s="3">
        <v>6000</v>
      </c>
      <c r="G24" s="3">
        <f>E24+F24</f>
        <v>106000</v>
      </c>
      <c r="H24" s="2" t="s">
        <v>15</v>
      </c>
      <c r="I24" s="4">
        <v>38108</v>
      </c>
    </row>
    <row r="25" spans="1:9" x14ac:dyDescent="0.4">
      <c r="A25" s="2">
        <v>22</v>
      </c>
      <c r="B25" s="2" t="s">
        <v>13</v>
      </c>
      <c r="C25" s="2" t="s">
        <v>14</v>
      </c>
      <c r="D25" s="2">
        <v>8</v>
      </c>
      <c r="E25" s="3">
        <v>58000</v>
      </c>
      <c r="F25" s="3">
        <v>2000</v>
      </c>
      <c r="G25" s="3">
        <f>E25+F25</f>
        <v>60000</v>
      </c>
      <c r="H25" s="2" t="s">
        <v>12</v>
      </c>
      <c r="I25" s="4">
        <v>38565</v>
      </c>
    </row>
    <row r="26" spans="1:9" x14ac:dyDescent="0.4">
      <c r="A26" s="2">
        <v>23</v>
      </c>
      <c r="B26" s="2" t="s">
        <v>10</v>
      </c>
      <c r="C26" s="2" t="s">
        <v>16</v>
      </c>
      <c r="D26" s="2">
        <v>11</v>
      </c>
      <c r="E26" s="3">
        <v>198000</v>
      </c>
      <c r="F26" s="3">
        <v>13000</v>
      </c>
      <c r="G26" s="3">
        <f>E26+F26</f>
        <v>211000</v>
      </c>
      <c r="H26" s="2" t="s">
        <v>15</v>
      </c>
      <c r="I26" s="4">
        <v>43252</v>
      </c>
    </row>
    <row r="27" spans="1:9" x14ac:dyDescent="0.4">
      <c r="A27" s="2">
        <v>24</v>
      </c>
      <c r="B27" s="2" t="s">
        <v>10</v>
      </c>
      <c r="C27" s="2" t="s">
        <v>16</v>
      </c>
      <c r="D27" s="2">
        <v>5</v>
      </c>
      <c r="E27" s="3">
        <v>175000</v>
      </c>
      <c r="F27" s="3">
        <v>15000</v>
      </c>
      <c r="G27" s="3">
        <f>E27+F27</f>
        <v>190000</v>
      </c>
      <c r="H27" s="2" t="s">
        <v>15</v>
      </c>
      <c r="I27" s="4">
        <v>39326</v>
      </c>
    </row>
    <row r="28" spans="1:9" x14ac:dyDescent="0.4">
      <c r="A28" s="2">
        <v>25</v>
      </c>
      <c r="B28" s="2" t="s">
        <v>20</v>
      </c>
      <c r="C28" s="2" t="s">
        <v>21</v>
      </c>
      <c r="D28" s="2">
        <v>15</v>
      </c>
      <c r="E28" s="3">
        <v>150000</v>
      </c>
      <c r="F28" s="3">
        <v>15000</v>
      </c>
      <c r="G28" s="3">
        <f>E28+F28</f>
        <v>165000</v>
      </c>
      <c r="H28" s="2" t="s">
        <v>26</v>
      </c>
      <c r="I28" s="4">
        <v>40210</v>
      </c>
    </row>
    <row r="29" spans="1:9" x14ac:dyDescent="0.4">
      <c r="A29" s="2">
        <v>26</v>
      </c>
      <c r="B29" s="2" t="s">
        <v>22</v>
      </c>
      <c r="C29" s="2" t="s">
        <v>30</v>
      </c>
      <c r="D29" s="2">
        <v>6</v>
      </c>
      <c r="E29" s="3">
        <v>180000</v>
      </c>
      <c r="F29" s="3">
        <v>0</v>
      </c>
      <c r="G29" s="3">
        <f>E29+F29</f>
        <v>180000</v>
      </c>
      <c r="H29" s="2" t="s">
        <v>15</v>
      </c>
      <c r="I29" s="4">
        <v>41275</v>
      </c>
    </row>
    <row r="30" spans="1:9" x14ac:dyDescent="0.4">
      <c r="A30" s="2">
        <v>27</v>
      </c>
      <c r="B30" s="2" t="s">
        <v>22</v>
      </c>
      <c r="C30" s="2" t="s">
        <v>23</v>
      </c>
      <c r="D30" s="2">
        <v>12</v>
      </c>
      <c r="E30" s="3">
        <v>160000</v>
      </c>
      <c r="F30" s="3">
        <v>12000</v>
      </c>
      <c r="G30" s="3">
        <f>E30+F30</f>
        <v>172000</v>
      </c>
      <c r="H30" s="2" t="s">
        <v>15</v>
      </c>
      <c r="I30" s="4">
        <v>42217</v>
      </c>
    </row>
  </sheetData>
  <sortState xmlns:xlrd2="http://schemas.microsoft.com/office/spreadsheetml/2017/richdata2" ref="A4:I30">
    <sortCondition ref="H4:H30"/>
    <sortCondition descending="1" ref="G4:G30"/>
  </sortState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1A96-3204-402D-824F-9E33756CCC7E}">
  <dimension ref="A1:H73"/>
  <sheetViews>
    <sheetView tabSelected="1" workbookViewId="0">
      <selection activeCell="C4" sqref="C4"/>
    </sheetView>
  </sheetViews>
  <sheetFormatPr defaultRowHeight="18.75" outlineLevelRow="3" x14ac:dyDescent="0.4"/>
  <cols>
    <col min="2" max="2" width="10.625" customWidth="1"/>
    <col min="4" max="4" width="19.25" bestFit="1" customWidth="1"/>
  </cols>
  <sheetData>
    <row r="1" spans="1:8" ht="25.5" x14ac:dyDescent="0.4">
      <c r="A1" s="5" t="s">
        <v>33</v>
      </c>
    </row>
    <row r="3" spans="1:8" x14ac:dyDescent="0.4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</row>
    <row r="4" spans="1:8" outlineLevel="3" x14ac:dyDescent="0.4">
      <c r="A4" s="2">
        <v>6</v>
      </c>
      <c r="B4" s="7">
        <v>44659</v>
      </c>
      <c r="C4" s="2" t="s">
        <v>51</v>
      </c>
      <c r="D4" s="2" t="s">
        <v>52</v>
      </c>
      <c r="E4" s="2" t="s">
        <v>44</v>
      </c>
      <c r="F4" s="8">
        <v>1000</v>
      </c>
      <c r="G4" s="8">
        <v>20</v>
      </c>
      <c r="H4" s="8">
        <v>20000</v>
      </c>
    </row>
    <row r="5" spans="1:8" outlineLevel="3" x14ac:dyDescent="0.4">
      <c r="A5" s="2">
        <v>11</v>
      </c>
      <c r="B5" s="7">
        <v>44667</v>
      </c>
      <c r="C5" s="2" t="s">
        <v>51</v>
      </c>
      <c r="D5" s="2" t="s">
        <v>56</v>
      </c>
      <c r="E5" s="2" t="s">
        <v>54</v>
      </c>
      <c r="F5" s="8">
        <v>500</v>
      </c>
      <c r="G5" s="8">
        <v>32</v>
      </c>
      <c r="H5" s="8">
        <v>16000</v>
      </c>
    </row>
    <row r="6" spans="1:8" outlineLevel="3" x14ac:dyDescent="0.4">
      <c r="A6" s="2">
        <v>14</v>
      </c>
      <c r="B6" s="7">
        <v>44670</v>
      </c>
      <c r="C6" s="2" t="s">
        <v>51</v>
      </c>
      <c r="D6" s="2" t="s">
        <v>50</v>
      </c>
      <c r="E6" s="2" t="s">
        <v>44</v>
      </c>
      <c r="F6" s="8">
        <v>500</v>
      </c>
      <c r="G6" s="8">
        <v>23</v>
      </c>
      <c r="H6" s="8">
        <v>11500</v>
      </c>
    </row>
    <row r="7" spans="1:8" outlineLevel="3" x14ac:dyDescent="0.4">
      <c r="A7" s="2">
        <v>17</v>
      </c>
      <c r="B7" s="7">
        <v>44674</v>
      </c>
      <c r="C7" s="2" t="s">
        <v>51</v>
      </c>
      <c r="D7" s="2" t="s">
        <v>43</v>
      </c>
      <c r="E7" s="2" t="s">
        <v>44</v>
      </c>
      <c r="F7" s="8">
        <v>800</v>
      </c>
      <c r="G7" s="8">
        <v>23</v>
      </c>
      <c r="H7" s="8">
        <v>18400</v>
      </c>
    </row>
    <row r="8" spans="1:8" outlineLevel="3" x14ac:dyDescent="0.4">
      <c r="A8" s="2">
        <v>18</v>
      </c>
      <c r="B8" s="7">
        <v>44674</v>
      </c>
      <c r="C8" s="2" t="s">
        <v>51</v>
      </c>
      <c r="D8" s="2" t="s">
        <v>52</v>
      </c>
      <c r="E8" s="2" t="s">
        <v>44</v>
      </c>
      <c r="F8" s="8">
        <v>1000</v>
      </c>
      <c r="G8" s="8">
        <v>23</v>
      </c>
      <c r="H8" s="8">
        <v>23000</v>
      </c>
    </row>
    <row r="9" spans="1:8" outlineLevel="3" x14ac:dyDescent="0.4">
      <c r="A9" s="2">
        <v>29</v>
      </c>
      <c r="B9" s="7">
        <v>44693</v>
      </c>
      <c r="C9" s="2" t="s">
        <v>51</v>
      </c>
      <c r="D9" s="2" t="s">
        <v>46</v>
      </c>
      <c r="E9" s="2" t="s">
        <v>47</v>
      </c>
      <c r="F9" s="8">
        <v>300</v>
      </c>
      <c r="G9" s="8">
        <v>26</v>
      </c>
      <c r="H9" s="8">
        <v>7800</v>
      </c>
    </row>
    <row r="10" spans="1:8" outlineLevel="3" x14ac:dyDescent="0.4">
      <c r="A10" s="2">
        <v>30</v>
      </c>
      <c r="B10" s="7">
        <v>44693</v>
      </c>
      <c r="C10" s="2" t="s">
        <v>51</v>
      </c>
      <c r="D10" s="2" t="s">
        <v>48</v>
      </c>
      <c r="E10" s="2" t="s">
        <v>47</v>
      </c>
      <c r="F10" s="8">
        <v>300</v>
      </c>
      <c r="G10" s="8">
        <v>26</v>
      </c>
      <c r="H10" s="8">
        <v>7800</v>
      </c>
    </row>
    <row r="11" spans="1:8" outlineLevel="3" x14ac:dyDescent="0.4">
      <c r="A11" s="2">
        <v>38</v>
      </c>
      <c r="B11" s="7">
        <v>44701</v>
      </c>
      <c r="C11" s="2" t="s">
        <v>51</v>
      </c>
      <c r="D11" s="2" t="s">
        <v>43</v>
      </c>
      <c r="E11" s="2" t="s">
        <v>44</v>
      </c>
      <c r="F11" s="8">
        <v>800</v>
      </c>
      <c r="G11" s="8">
        <v>29</v>
      </c>
      <c r="H11" s="8">
        <v>23200</v>
      </c>
    </row>
    <row r="12" spans="1:8" outlineLevel="3" x14ac:dyDescent="0.4">
      <c r="A12" s="2">
        <v>40</v>
      </c>
      <c r="B12" s="7">
        <v>44705</v>
      </c>
      <c r="C12" s="2" t="s">
        <v>51</v>
      </c>
      <c r="D12" s="2" t="s">
        <v>50</v>
      </c>
      <c r="E12" s="2" t="s">
        <v>44</v>
      </c>
      <c r="F12" s="8">
        <v>500</v>
      </c>
      <c r="G12" s="8">
        <v>40</v>
      </c>
      <c r="H12" s="8">
        <v>20000</v>
      </c>
    </row>
    <row r="13" spans="1:8" outlineLevel="3" x14ac:dyDescent="0.4">
      <c r="A13" s="2">
        <v>42</v>
      </c>
      <c r="B13" s="7">
        <v>44709</v>
      </c>
      <c r="C13" s="2" t="s">
        <v>51</v>
      </c>
      <c r="D13" s="2" t="s">
        <v>53</v>
      </c>
      <c r="E13" s="2" t="s">
        <v>54</v>
      </c>
      <c r="F13" s="8">
        <v>1000</v>
      </c>
      <c r="G13" s="8">
        <v>33</v>
      </c>
      <c r="H13" s="8">
        <v>33000</v>
      </c>
    </row>
    <row r="14" spans="1:8" outlineLevel="3" x14ac:dyDescent="0.4">
      <c r="A14" s="2">
        <v>45</v>
      </c>
      <c r="B14" s="7">
        <v>44716</v>
      </c>
      <c r="C14" s="2" t="s">
        <v>51</v>
      </c>
      <c r="D14" s="2" t="s">
        <v>46</v>
      </c>
      <c r="E14" s="2" t="s">
        <v>47</v>
      </c>
      <c r="F14" s="8">
        <v>300</v>
      </c>
      <c r="G14" s="8">
        <v>32</v>
      </c>
      <c r="H14" s="8">
        <v>9600</v>
      </c>
    </row>
    <row r="15" spans="1:8" outlineLevel="3" x14ac:dyDescent="0.4">
      <c r="A15" s="2">
        <v>48</v>
      </c>
      <c r="B15" s="7">
        <v>44720</v>
      </c>
      <c r="C15" s="2" t="s">
        <v>51</v>
      </c>
      <c r="D15" s="2" t="s">
        <v>48</v>
      </c>
      <c r="E15" s="2" t="s">
        <v>47</v>
      </c>
      <c r="F15" s="8">
        <v>300</v>
      </c>
      <c r="G15" s="8">
        <v>28</v>
      </c>
      <c r="H15" s="8">
        <v>8400</v>
      </c>
    </row>
    <row r="16" spans="1:8" outlineLevel="3" x14ac:dyDescent="0.4">
      <c r="A16" s="2">
        <v>49</v>
      </c>
      <c r="B16" s="7">
        <v>44722</v>
      </c>
      <c r="C16" s="2" t="s">
        <v>51</v>
      </c>
      <c r="D16" s="2" t="s">
        <v>55</v>
      </c>
      <c r="E16" s="2" t="s">
        <v>47</v>
      </c>
      <c r="F16" s="8">
        <v>500</v>
      </c>
      <c r="G16" s="8">
        <v>19</v>
      </c>
      <c r="H16" s="8">
        <v>9500</v>
      </c>
    </row>
    <row r="17" spans="1:8" outlineLevel="3" x14ac:dyDescent="0.4">
      <c r="A17" s="2">
        <v>57</v>
      </c>
      <c r="B17" s="7">
        <v>44732</v>
      </c>
      <c r="C17" s="2" t="s">
        <v>51</v>
      </c>
      <c r="D17" s="2" t="s">
        <v>48</v>
      </c>
      <c r="E17" s="2" t="s">
        <v>47</v>
      </c>
      <c r="F17" s="8">
        <v>300</v>
      </c>
      <c r="G17" s="8">
        <v>30</v>
      </c>
      <c r="H17" s="8">
        <v>9000</v>
      </c>
    </row>
    <row r="18" spans="1:8" outlineLevel="3" x14ac:dyDescent="0.4">
      <c r="A18" s="2">
        <v>59</v>
      </c>
      <c r="B18" s="7">
        <v>44734</v>
      </c>
      <c r="C18" s="2" t="s">
        <v>51</v>
      </c>
      <c r="D18" s="2" t="s">
        <v>53</v>
      </c>
      <c r="E18" s="2" t="s">
        <v>54</v>
      </c>
      <c r="F18" s="8">
        <v>1000</v>
      </c>
      <c r="G18" s="8">
        <v>24</v>
      </c>
      <c r="H18" s="8">
        <v>24000</v>
      </c>
    </row>
    <row r="19" spans="1:8" outlineLevel="3" x14ac:dyDescent="0.4">
      <c r="A19" s="2">
        <v>60</v>
      </c>
      <c r="B19" s="7">
        <v>44738</v>
      </c>
      <c r="C19" s="2" t="s">
        <v>51</v>
      </c>
      <c r="D19" s="2" t="s">
        <v>43</v>
      </c>
      <c r="E19" s="2" t="s">
        <v>44</v>
      </c>
      <c r="F19" s="8">
        <v>800</v>
      </c>
      <c r="G19" s="8">
        <v>24</v>
      </c>
      <c r="H19" s="8">
        <v>19200</v>
      </c>
    </row>
    <row r="20" spans="1:8" outlineLevel="2" x14ac:dyDescent="0.4">
      <c r="A20" s="2"/>
      <c r="B20" s="7"/>
      <c r="C20" s="11" t="s">
        <v>62</v>
      </c>
      <c r="D20" s="2"/>
      <c r="E20" s="2"/>
      <c r="F20" s="8"/>
      <c r="G20" s="8">
        <f>SUBTOTAL(1,G4:G19)</f>
        <v>27</v>
      </c>
      <c r="H20" s="8">
        <f>SUBTOTAL(1,H4:H19)</f>
        <v>16275</v>
      </c>
    </row>
    <row r="21" spans="1:8" outlineLevel="1" x14ac:dyDescent="0.4">
      <c r="A21" s="2"/>
      <c r="B21" s="7"/>
      <c r="C21" s="11" t="s">
        <v>57</v>
      </c>
      <c r="D21" s="2"/>
      <c r="E21" s="2"/>
      <c r="F21" s="8"/>
      <c r="G21" s="8">
        <f>SUBTOTAL(9,G4:G19)</f>
        <v>432</v>
      </c>
      <c r="H21" s="8">
        <f>SUBTOTAL(9,H4:H19)</f>
        <v>260400</v>
      </c>
    </row>
    <row r="22" spans="1:8" outlineLevel="3" x14ac:dyDescent="0.4">
      <c r="A22" s="2">
        <v>4</v>
      </c>
      <c r="B22" s="7">
        <v>44655</v>
      </c>
      <c r="C22" s="2" t="s">
        <v>49</v>
      </c>
      <c r="D22" s="2" t="s">
        <v>50</v>
      </c>
      <c r="E22" s="2" t="s">
        <v>44</v>
      </c>
      <c r="F22" s="8">
        <v>500</v>
      </c>
      <c r="G22" s="8">
        <v>16</v>
      </c>
      <c r="H22" s="8">
        <v>8000</v>
      </c>
    </row>
    <row r="23" spans="1:8" outlineLevel="3" x14ac:dyDescent="0.4">
      <c r="A23" s="2">
        <v>5</v>
      </c>
      <c r="B23" s="7">
        <v>44657</v>
      </c>
      <c r="C23" s="2" t="s">
        <v>49</v>
      </c>
      <c r="D23" s="2" t="s">
        <v>46</v>
      </c>
      <c r="E23" s="2" t="s">
        <v>47</v>
      </c>
      <c r="F23" s="8">
        <v>300</v>
      </c>
      <c r="G23" s="8">
        <v>33</v>
      </c>
      <c r="H23" s="8">
        <v>9900</v>
      </c>
    </row>
    <row r="24" spans="1:8" outlineLevel="3" x14ac:dyDescent="0.4">
      <c r="A24" s="2">
        <v>7</v>
      </c>
      <c r="B24" s="7">
        <v>44663</v>
      </c>
      <c r="C24" s="2" t="s">
        <v>49</v>
      </c>
      <c r="D24" s="2" t="s">
        <v>48</v>
      </c>
      <c r="E24" s="2" t="s">
        <v>47</v>
      </c>
      <c r="F24" s="8">
        <v>300</v>
      </c>
      <c r="G24" s="8">
        <v>36</v>
      </c>
      <c r="H24" s="8">
        <v>10800</v>
      </c>
    </row>
    <row r="25" spans="1:8" outlineLevel="3" x14ac:dyDescent="0.4">
      <c r="A25" s="2">
        <v>8</v>
      </c>
      <c r="B25" s="7">
        <v>44664</v>
      </c>
      <c r="C25" s="2" t="s">
        <v>49</v>
      </c>
      <c r="D25" s="2" t="s">
        <v>53</v>
      </c>
      <c r="E25" s="2" t="s">
        <v>54</v>
      </c>
      <c r="F25" s="8">
        <v>1000</v>
      </c>
      <c r="G25" s="8">
        <v>26</v>
      </c>
      <c r="H25" s="8">
        <v>26000</v>
      </c>
    </row>
    <row r="26" spans="1:8" outlineLevel="3" x14ac:dyDescent="0.4">
      <c r="A26" s="2">
        <v>10</v>
      </c>
      <c r="B26" s="7">
        <v>44667</v>
      </c>
      <c r="C26" s="2" t="s">
        <v>49</v>
      </c>
      <c r="D26" s="2" t="s">
        <v>52</v>
      </c>
      <c r="E26" s="2" t="s">
        <v>44</v>
      </c>
      <c r="F26" s="8">
        <v>1000</v>
      </c>
      <c r="G26" s="8">
        <v>21</v>
      </c>
      <c r="H26" s="8">
        <v>21000</v>
      </c>
    </row>
    <row r="27" spans="1:8" outlineLevel="3" x14ac:dyDescent="0.4">
      <c r="A27" s="2">
        <v>12</v>
      </c>
      <c r="B27" s="7">
        <v>44669</v>
      </c>
      <c r="C27" s="2" t="s">
        <v>49</v>
      </c>
      <c r="D27" s="2" t="s">
        <v>43</v>
      </c>
      <c r="E27" s="2" t="s">
        <v>44</v>
      </c>
      <c r="F27" s="8">
        <v>800</v>
      </c>
      <c r="G27" s="8">
        <v>19</v>
      </c>
      <c r="H27" s="8">
        <v>15200</v>
      </c>
    </row>
    <row r="28" spans="1:8" outlineLevel="3" x14ac:dyDescent="0.4">
      <c r="A28" s="2">
        <v>13</v>
      </c>
      <c r="B28" s="7">
        <v>44670</v>
      </c>
      <c r="C28" s="2" t="s">
        <v>49</v>
      </c>
      <c r="D28" s="2" t="s">
        <v>46</v>
      </c>
      <c r="E28" s="2" t="s">
        <v>47</v>
      </c>
      <c r="F28" s="8">
        <v>300</v>
      </c>
      <c r="G28" s="8">
        <v>35</v>
      </c>
      <c r="H28" s="8">
        <v>10500</v>
      </c>
    </row>
    <row r="29" spans="1:8" outlineLevel="3" x14ac:dyDescent="0.4">
      <c r="A29" s="2">
        <v>23</v>
      </c>
      <c r="B29" s="7">
        <v>44686</v>
      </c>
      <c r="C29" s="2" t="s">
        <v>49</v>
      </c>
      <c r="D29" s="2" t="s">
        <v>46</v>
      </c>
      <c r="E29" s="2" t="s">
        <v>47</v>
      </c>
      <c r="F29" s="8">
        <v>300</v>
      </c>
      <c r="G29" s="8">
        <v>25</v>
      </c>
      <c r="H29" s="8">
        <v>7500</v>
      </c>
    </row>
    <row r="30" spans="1:8" outlineLevel="3" x14ac:dyDescent="0.4">
      <c r="A30" s="2">
        <v>34</v>
      </c>
      <c r="B30" s="7">
        <v>44698</v>
      </c>
      <c r="C30" s="2" t="s">
        <v>49</v>
      </c>
      <c r="D30" s="2" t="s">
        <v>43</v>
      </c>
      <c r="E30" s="2" t="s">
        <v>44</v>
      </c>
      <c r="F30" s="8">
        <v>800</v>
      </c>
      <c r="G30" s="8">
        <v>32</v>
      </c>
      <c r="H30" s="8">
        <v>25600</v>
      </c>
    </row>
    <row r="31" spans="1:8" outlineLevel="3" x14ac:dyDescent="0.4">
      <c r="A31" s="2">
        <v>43</v>
      </c>
      <c r="B31" s="7">
        <v>44715</v>
      </c>
      <c r="C31" s="2" t="s">
        <v>49</v>
      </c>
      <c r="D31" s="2" t="s">
        <v>56</v>
      </c>
      <c r="E31" s="2" t="s">
        <v>54</v>
      </c>
      <c r="F31" s="8">
        <v>500</v>
      </c>
      <c r="G31" s="8">
        <v>45</v>
      </c>
      <c r="H31" s="8">
        <v>22500</v>
      </c>
    </row>
    <row r="32" spans="1:8" outlineLevel="3" x14ac:dyDescent="0.4">
      <c r="A32" s="2">
        <v>44</v>
      </c>
      <c r="B32" s="7">
        <v>44716</v>
      </c>
      <c r="C32" s="2" t="s">
        <v>49</v>
      </c>
      <c r="D32" s="2" t="s">
        <v>52</v>
      </c>
      <c r="E32" s="2" t="s">
        <v>44</v>
      </c>
      <c r="F32" s="8">
        <v>1000</v>
      </c>
      <c r="G32" s="8">
        <v>22</v>
      </c>
      <c r="H32" s="8">
        <v>22000</v>
      </c>
    </row>
    <row r="33" spans="1:8" outlineLevel="3" x14ac:dyDescent="0.4">
      <c r="A33" s="2">
        <v>47</v>
      </c>
      <c r="B33" s="7">
        <v>44718</v>
      </c>
      <c r="C33" s="2" t="s">
        <v>49</v>
      </c>
      <c r="D33" s="2" t="s">
        <v>53</v>
      </c>
      <c r="E33" s="2" t="s">
        <v>54</v>
      </c>
      <c r="F33" s="8">
        <v>1000</v>
      </c>
      <c r="G33" s="8">
        <v>26</v>
      </c>
      <c r="H33" s="8">
        <v>26000</v>
      </c>
    </row>
    <row r="34" spans="1:8" outlineLevel="3" x14ac:dyDescent="0.4">
      <c r="A34" s="2">
        <v>51</v>
      </c>
      <c r="B34" s="7">
        <v>44723</v>
      </c>
      <c r="C34" s="2" t="s">
        <v>49</v>
      </c>
      <c r="D34" s="2" t="s">
        <v>50</v>
      </c>
      <c r="E34" s="2" t="s">
        <v>44</v>
      </c>
      <c r="F34" s="8">
        <v>500</v>
      </c>
      <c r="G34" s="8">
        <v>26</v>
      </c>
      <c r="H34" s="8">
        <v>13000</v>
      </c>
    </row>
    <row r="35" spans="1:8" outlineLevel="3" x14ac:dyDescent="0.4">
      <c r="A35" s="2">
        <v>54</v>
      </c>
      <c r="B35" s="7">
        <v>44729</v>
      </c>
      <c r="C35" s="2" t="s">
        <v>49</v>
      </c>
      <c r="D35" s="2" t="s">
        <v>43</v>
      </c>
      <c r="E35" s="2" t="s">
        <v>44</v>
      </c>
      <c r="F35" s="8">
        <v>800</v>
      </c>
      <c r="G35" s="8">
        <v>23</v>
      </c>
      <c r="H35" s="8">
        <v>18400</v>
      </c>
    </row>
    <row r="36" spans="1:8" outlineLevel="3" x14ac:dyDescent="0.4">
      <c r="A36" s="2">
        <v>58</v>
      </c>
      <c r="B36" s="7">
        <v>44733</v>
      </c>
      <c r="C36" s="2" t="s">
        <v>49</v>
      </c>
      <c r="D36" s="2" t="s">
        <v>52</v>
      </c>
      <c r="E36" s="2" t="s">
        <v>44</v>
      </c>
      <c r="F36" s="8">
        <v>1000</v>
      </c>
      <c r="G36" s="8">
        <v>35</v>
      </c>
      <c r="H36" s="8">
        <v>35000</v>
      </c>
    </row>
    <row r="37" spans="1:8" outlineLevel="2" x14ac:dyDescent="0.4">
      <c r="A37" s="2"/>
      <c r="B37" s="7"/>
      <c r="C37" s="11" t="s">
        <v>63</v>
      </c>
      <c r="D37" s="2"/>
      <c r="E37" s="2"/>
      <c r="F37" s="8"/>
      <c r="G37" s="8">
        <f>SUBTOTAL(1,G22:G36)</f>
        <v>28</v>
      </c>
      <c r="H37" s="8">
        <f>SUBTOTAL(1,H22:H36)</f>
        <v>18093.333333333332</v>
      </c>
    </row>
    <row r="38" spans="1:8" outlineLevel="1" x14ac:dyDescent="0.4">
      <c r="A38" s="2"/>
      <c r="B38" s="7"/>
      <c r="C38" s="11" t="s">
        <v>58</v>
      </c>
      <c r="D38" s="2"/>
      <c r="E38" s="2"/>
      <c r="F38" s="8"/>
      <c r="G38" s="8">
        <f>SUBTOTAL(9,G22:G36)</f>
        <v>420</v>
      </c>
      <c r="H38" s="8">
        <f>SUBTOTAL(9,H22:H36)</f>
        <v>271400</v>
      </c>
    </row>
    <row r="39" spans="1:8" outlineLevel="3" x14ac:dyDescent="0.4">
      <c r="A39" s="2">
        <v>2</v>
      </c>
      <c r="B39" s="7">
        <v>44653</v>
      </c>
      <c r="C39" s="2" t="s">
        <v>45</v>
      </c>
      <c r="D39" s="2" t="s">
        <v>46</v>
      </c>
      <c r="E39" s="2" t="s">
        <v>47</v>
      </c>
      <c r="F39" s="8">
        <v>300</v>
      </c>
      <c r="G39" s="8">
        <v>30</v>
      </c>
      <c r="H39" s="8">
        <v>9000</v>
      </c>
    </row>
    <row r="40" spans="1:8" outlineLevel="3" x14ac:dyDescent="0.4">
      <c r="A40" s="2">
        <v>3</v>
      </c>
      <c r="B40" s="7">
        <v>44653</v>
      </c>
      <c r="C40" s="2" t="s">
        <v>45</v>
      </c>
      <c r="D40" s="2" t="s">
        <v>48</v>
      </c>
      <c r="E40" s="2" t="s">
        <v>47</v>
      </c>
      <c r="F40" s="8">
        <v>300</v>
      </c>
      <c r="G40" s="8">
        <v>27</v>
      </c>
      <c r="H40" s="8">
        <v>8100</v>
      </c>
    </row>
    <row r="41" spans="1:8" outlineLevel="3" x14ac:dyDescent="0.4">
      <c r="A41" s="2">
        <v>9</v>
      </c>
      <c r="B41" s="7">
        <v>44664</v>
      </c>
      <c r="C41" s="2" t="s">
        <v>45</v>
      </c>
      <c r="D41" s="2" t="s">
        <v>55</v>
      </c>
      <c r="E41" s="2" t="s">
        <v>47</v>
      </c>
      <c r="F41" s="8">
        <v>500</v>
      </c>
      <c r="G41" s="8">
        <v>15</v>
      </c>
      <c r="H41" s="8">
        <v>7500</v>
      </c>
    </row>
    <row r="42" spans="1:8" outlineLevel="3" x14ac:dyDescent="0.4">
      <c r="A42" s="2">
        <v>21</v>
      </c>
      <c r="B42" s="7">
        <v>44680</v>
      </c>
      <c r="C42" s="2" t="s">
        <v>45</v>
      </c>
      <c r="D42" s="2" t="s">
        <v>53</v>
      </c>
      <c r="E42" s="2" t="s">
        <v>54</v>
      </c>
      <c r="F42" s="8">
        <v>1000</v>
      </c>
      <c r="G42" s="8">
        <v>28</v>
      </c>
      <c r="H42" s="8">
        <v>28000</v>
      </c>
    </row>
    <row r="43" spans="1:8" outlineLevel="3" x14ac:dyDescent="0.4">
      <c r="A43" s="2">
        <v>22</v>
      </c>
      <c r="B43" s="7">
        <v>44682</v>
      </c>
      <c r="C43" s="2" t="s">
        <v>45</v>
      </c>
      <c r="D43" s="2" t="s">
        <v>43</v>
      </c>
      <c r="E43" s="2" t="s">
        <v>44</v>
      </c>
      <c r="F43" s="8">
        <v>800</v>
      </c>
      <c r="G43" s="8">
        <v>28</v>
      </c>
      <c r="H43" s="8">
        <v>22400</v>
      </c>
    </row>
    <row r="44" spans="1:8" outlineLevel="3" x14ac:dyDescent="0.4">
      <c r="A44" s="2">
        <v>26</v>
      </c>
      <c r="B44" s="7">
        <v>44687</v>
      </c>
      <c r="C44" s="2" t="s">
        <v>45</v>
      </c>
      <c r="D44" s="2" t="s">
        <v>52</v>
      </c>
      <c r="E44" s="2" t="s">
        <v>44</v>
      </c>
      <c r="F44" s="8">
        <v>1000</v>
      </c>
      <c r="G44" s="8">
        <v>26</v>
      </c>
      <c r="H44" s="8">
        <v>26000</v>
      </c>
    </row>
    <row r="45" spans="1:8" outlineLevel="3" x14ac:dyDescent="0.4">
      <c r="A45" s="2">
        <v>27</v>
      </c>
      <c r="B45" s="7">
        <v>44689</v>
      </c>
      <c r="C45" s="2" t="s">
        <v>45</v>
      </c>
      <c r="D45" s="2" t="s">
        <v>50</v>
      </c>
      <c r="E45" s="2" t="s">
        <v>44</v>
      </c>
      <c r="F45" s="8">
        <v>500</v>
      </c>
      <c r="G45" s="8">
        <v>32</v>
      </c>
      <c r="H45" s="8">
        <v>16000</v>
      </c>
    </row>
    <row r="46" spans="1:8" outlineLevel="3" x14ac:dyDescent="0.4">
      <c r="A46" s="2">
        <v>33</v>
      </c>
      <c r="B46" s="7">
        <v>44696</v>
      </c>
      <c r="C46" s="2" t="s">
        <v>45</v>
      </c>
      <c r="D46" s="2" t="s">
        <v>46</v>
      </c>
      <c r="E46" s="2" t="s">
        <v>47</v>
      </c>
      <c r="F46" s="8">
        <v>300</v>
      </c>
      <c r="G46" s="8">
        <v>36</v>
      </c>
      <c r="H46" s="8">
        <v>10800</v>
      </c>
    </row>
    <row r="47" spans="1:8" outlineLevel="3" x14ac:dyDescent="0.4">
      <c r="A47" s="2">
        <v>36</v>
      </c>
      <c r="B47" s="7">
        <v>44700</v>
      </c>
      <c r="C47" s="2" t="s">
        <v>45</v>
      </c>
      <c r="D47" s="2" t="s">
        <v>56</v>
      </c>
      <c r="E47" s="2" t="s">
        <v>54</v>
      </c>
      <c r="F47" s="8">
        <v>500</v>
      </c>
      <c r="G47" s="8">
        <v>39</v>
      </c>
      <c r="H47" s="8">
        <v>19500</v>
      </c>
    </row>
    <row r="48" spans="1:8" outlineLevel="3" x14ac:dyDescent="0.4">
      <c r="A48" s="2">
        <v>41</v>
      </c>
      <c r="B48" s="7">
        <v>44708</v>
      </c>
      <c r="C48" s="2" t="s">
        <v>45</v>
      </c>
      <c r="D48" s="2" t="s">
        <v>43</v>
      </c>
      <c r="E48" s="2" t="s">
        <v>44</v>
      </c>
      <c r="F48" s="8">
        <v>800</v>
      </c>
      <c r="G48" s="8">
        <v>31</v>
      </c>
      <c r="H48" s="8">
        <v>24800</v>
      </c>
    </row>
    <row r="49" spans="1:8" outlineLevel="3" x14ac:dyDescent="0.4">
      <c r="A49" s="2">
        <v>46</v>
      </c>
      <c r="B49" s="7">
        <v>44718</v>
      </c>
      <c r="C49" s="2" t="s">
        <v>45</v>
      </c>
      <c r="D49" s="2" t="s">
        <v>50</v>
      </c>
      <c r="E49" s="2" t="s">
        <v>44</v>
      </c>
      <c r="F49" s="8">
        <v>500</v>
      </c>
      <c r="G49" s="8">
        <v>38</v>
      </c>
      <c r="H49" s="8">
        <v>19000</v>
      </c>
    </row>
    <row r="50" spans="1:8" outlineLevel="3" x14ac:dyDescent="0.4">
      <c r="A50" s="2">
        <v>50</v>
      </c>
      <c r="B50" s="7">
        <v>44723</v>
      </c>
      <c r="C50" s="2" t="s">
        <v>45</v>
      </c>
      <c r="D50" s="2" t="s">
        <v>52</v>
      </c>
      <c r="E50" s="2" t="s">
        <v>44</v>
      </c>
      <c r="F50" s="8">
        <v>1000</v>
      </c>
      <c r="G50" s="8">
        <v>20</v>
      </c>
      <c r="H50" s="8">
        <v>20000</v>
      </c>
    </row>
    <row r="51" spans="1:8" outlineLevel="3" x14ac:dyDescent="0.4">
      <c r="A51" s="2">
        <v>53</v>
      </c>
      <c r="B51" s="7">
        <v>44729</v>
      </c>
      <c r="C51" s="2" t="s">
        <v>45</v>
      </c>
      <c r="D51" s="2" t="s">
        <v>46</v>
      </c>
      <c r="E51" s="2" t="s">
        <v>47</v>
      </c>
      <c r="F51" s="8">
        <v>300</v>
      </c>
      <c r="G51" s="8">
        <v>31</v>
      </c>
      <c r="H51" s="8">
        <v>9300</v>
      </c>
    </row>
    <row r="52" spans="1:8" outlineLevel="3" x14ac:dyDescent="0.4">
      <c r="A52" s="2">
        <v>55</v>
      </c>
      <c r="B52" s="7">
        <v>44730</v>
      </c>
      <c r="C52" s="2" t="s">
        <v>45</v>
      </c>
      <c r="D52" s="2" t="s">
        <v>48</v>
      </c>
      <c r="E52" s="2" t="s">
        <v>47</v>
      </c>
      <c r="F52" s="8">
        <v>300</v>
      </c>
      <c r="G52" s="8">
        <v>25</v>
      </c>
      <c r="H52" s="8">
        <v>7500</v>
      </c>
    </row>
    <row r="53" spans="1:8" outlineLevel="2" x14ac:dyDescent="0.4">
      <c r="A53" s="2"/>
      <c r="B53" s="7"/>
      <c r="C53" s="11" t="s">
        <v>64</v>
      </c>
      <c r="D53" s="2"/>
      <c r="E53" s="2"/>
      <c r="F53" s="8"/>
      <c r="G53" s="8">
        <f>SUBTOTAL(1,G39:G52)</f>
        <v>29</v>
      </c>
      <c r="H53" s="8">
        <f>SUBTOTAL(1,H39:H52)</f>
        <v>16278.571428571429</v>
      </c>
    </row>
    <row r="54" spans="1:8" outlineLevel="1" x14ac:dyDescent="0.4">
      <c r="A54" s="2"/>
      <c r="B54" s="7"/>
      <c r="C54" s="11" t="s">
        <v>59</v>
      </c>
      <c r="D54" s="2"/>
      <c r="E54" s="2"/>
      <c r="F54" s="8"/>
      <c r="G54" s="8">
        <f>SUBTOTAL(9,G39:G52)</f>
        <v>406</v>
      </c>
      <c r="H54" s="8">
        <f>SUBTOTAL(9,H39:H52)</f>
        <v>227900</v>
      </c>
    </row>
    <row r="55" spans="1:8" outlineLevel="3" x14ac:dyDescent="0.4">
      <c r="A55" s="2">
        <v>1</v>
      </c>
      <c r="B55" s="7">
        <v>44652</v>
      </c>
      <c r="C55" s="2" t="s">
        <v>42</v>
      </c>
      <c r="D55" s="2" t="s">
        <v>43</v>
      </c>
      <c r="E55" s="2" t="s">
        <v>44</v>
      </c>
      <c r="F55" s="8">
        <v>800</v>
      </c>
      <c r="G55" s="8">
        <v>25</v>
      </c>
      <c r="H55" s="8">
        <v>20000</v>
      </c>
    </row>
    <row r="56" spans="1:8" outlineLevel="3" x14ac:dyDescent="0.4">
      <c r="A56" s="2">
        <v>15</v>
      </c>
      <c r="B56" s="7">
        <v>44671</v>
      </c>
      <c r="C56" s="2" t="s">
        <v>42</v>
      </c>
      <c r="D56" s="2" t="s">
        <v>52</v>
      </c>
      <c r="E56" s="2" t="s">
        <v>44</v>
      </c>
      <c r="F56" s="8">
        <v>1000</v>
      </c>
      <c r="G56" s="8">
        <v>21</v>
      </c>
      <c r="H56" s="8">
        <v>21000</v>
      </c>
    </row>
    <row r="57" spans="1:8" outlineLevel="3" x14ac:dyDescent="0.4">
      <c r="A57" s="2">
        <v>16</v>
      </c>
      <c r="B57" s="7">
        <v>44673</v>
      </c>
      <c r="C57" s="2" t="s">
        <v>42</v>
      </c>
      <c r="D57" s="2" t="s">
        <v>50</v>
      </c>
      <c r="E57" s="2" t="s">
        <v>44</v>
      </c>
      <c r="F57" s="8">
        <v>500</v>
      </c>
      <c r="G57" s="8">
        <v>20</v>
      </c>
      <c r="H57" s="8">
        <v>10000</v>
      </c>
    </row>
    <row r="58" spans="1:8" outlineLevel="3" x14ac:dyDescent="0.4">
      <c r="A58" s="2">
        <v>19</v>
      </c>
      <c r="B58" s="7">
        <v>44677</v>
      </c>
      <c r="C58" s="2" t="s">
        <v>42</v>
      </c>
      <c r="D58" s="2" t="s">
        <v>46</v>
      </c>
      <c r="E58" s="2" t="s">
        <v>47</v>
      </c>
      <c r="F58" s="8">
        <v>300</v>
      </c>
      <c r="G58" s="8">
        <v>29</v>
      </c>
      <c r="H58" s="8">
        <v>8700</v>
      </c>
    </row>
    <row r="59" spans="1:8" outlineLevel="3" x14ac:dyDescent="0.4">
      <c r="A59" s="2">
        <v>20</v>
      </c>
      <c r="B59" s="7">
        <v>44680</v>
      </c>
      <c r="C59" s="2" t="s">
        <v>42</v>
      </c>
      <c r="D59" s="2" t="s">
        <v>48</v>
      </c>
      <c r="E59" s="2" t="s">
        <v>47</v>
      </c>
      <c r="F59" s="8">
        <v>300</v>
      </c>
      <c r="G59" s="8">
        <v>24</v>
      </c>
      <c r="H59" s="8">
        <v>7200</v>
      </c>
    </row>
    <row r="60" spans="1:8" outlineLevel="3" x14ac:dyDescent="0.4">
      <c r="A60" s="2">
        <v>24</v>
      </c>
      <c r="B60" s="7">
        <v>44686</v>
      </c>
      <c r="C60" s="2" t="s">
        <v>42</v>
      </c>
      <c r="D60" s="2" t="s">
        <v>55</v>
      </c>
      <c r="E60" s="2" t="s">
        <v>47</v>
      </c>
      <c r="F60" s="8">
        <v>500</v>
      </c>
      <c r="G60" s="8">
        <v>18</v>
      </c>
      <c r="H60" s="8">
        <v>9000</v>
      </c>
    </row>
    <row r="61" spans="1:8" outlineLevel="3" x14ac:dyDescent="0.4">
      <c r="A61" s="2">
        <v>25</v>
      </c>
      <c r="B61" s="7">
        <v>44686</v>
      </c>
      <c r="C61" s="2" t="s">
        <v>42</v>
      </c>
      <c r="D61" s="2" t="s">
        <v>46</v>
      </c>
      <c r="E61" s="2" t="s">
        <v>47</v>
      </c>
      <c r="F61" s="8">
        <v>300</v>
      </c>
      <c r="G61" s="8">
        <v>30</v>
      </c>
      <c r="H61" s="8">
        <v>9000</v>
      </c>
    </row>
    <row r="62" spans="1:8" outlineLevel="3" x14ac:dyDescent="0.4">
      <c r="A62" s="2">
        <v>28</v>
      </c>
      <c r="B62" s="7">
        <v>44690</v>
      </c>
      <c r="C62" s="2" t="s">
        <v>42</v>
      </c>
      <c r="D62" s="2" t="s">
        <v>56</v>
      </c>
      <c r="E62" s="2" t="s">
        <v>54</v>
      </c>
      <c r="F62" s="8">
        <v>500</v>
      </c>
      <c r="G62" s="8">
        <v>41</v>
      </c>
      <c r="H62" s="8">
        <v>20500</v>
      </c>
    </row>
    <row r="63" spans="1:8" outlineLevel="3" x14ac:dyDescent="0.4">
      <c r="A63" s="2">
        <v>31</v>
      </c>
      <c r="B63" s="7">
        <v>44694</v>
      </c>
      <c r="C63" s="2" t="s">
        <v>42</v>
      </c>
      <c r="D63" s="2" t="s">
        <v>43</v>
      </c>
      <c r="E63" s="2" t="s">
        <v>44</v>
      </c>
      <c r="F63" s="8">
        <v>800</v>
      </c>
      <c r="G63" s="8">
        <v>26</v>
      </c>
      <c r="H63" s="8">
        <v>20800</v>
      </c>
    </row>
    <row r="64" spans="1:8" outlineLevel="3" x14ac:dyDescent="0.4">
      <c r="A64" s="2">
        <v>32</v>
      </c>
      <c r="B64" s="7">
        <v>44694</v>
      </c>
      <c r="C64" s="2" t="s">
        <v>42</v>
      </c>
      <c r="D64" s="2" t="s">
        <v>53</v>
      </c>
      <c r="E64" s="2" t="s">
        <v>54</v>
      </c>
      <c r="F64" s="8">
        <v>1000</v>
      </c>
      <c r="G64" s="8">
        <v>31</v>
      </c>
      <c r="H64" s="8">
        <v>31000</v>
      </c>
    </row>
    <row r="65" spans="1:8" outlineLevel="3" x14ac:dyDescent="0.4">
      <c r="A65" s="2">
        <v>35</v>
      </c>
      <c r="B65" s="7">
        <v>44698</v>
      </c>
      <c r="C65" s="2" t="s">
        <v>42</v>
      </c>
      <c r="D65" s="2" t="s">
        <v>48</v>
      </c>
      <c r="E65" s="2" t="s">
        <v>47</v>
      </c>
      <c r="F65" s="8">
        <v>300</v>
      </c>
      <c r="G65" s="8">
        <v>28</v>
      </c>
      <c r="H65" s="8">
        <v>8400</v>
      </c>
    </row>
    <row r="66" spans="1:8" outlineLevel="3" x14ac:dyDescent="0.4">
      <c r="A66" s="2">
        <v>37</v>
      </c>
      <c r="B66" s="7">
        <v>44700</v>
      </c>
      <c r="C66" s="2" t="s">
        <v>42</v>
      </c>
      <c r="D66" s="2" t="s">
        <v>52</v>
      </c>
      <c r="E66" s="2" t="s">
        <v>44</v>
      </c>
      <c r="F66" s="8">
        <v>1000</v>
      </c>
      <c r="G66" s="8">
        <v>28</v>
      </c>
      <c r="H66" s="8">
        <v>28000</v>
      </c>
    </row>
    <row r="67" spans="1:8" outlineLevel="3" x14ac:dyDescent="0.4">
      <c r="A67" s="2">
        <v>39</v>
      </c>
      <c r="B67" s="7">
        <v>44701</v>
      </c>
      <c r="C67" s="2" t="s">
        <v>42</v>
      </c>
      <c r="D67" s="2" t="s">
        <v>55</v>
      </c>
      <c r="E67" s="2" t="s">
        <v>47</v>
      </c>
      <c r="F67" s="8">
        <v>500</v>
      </c>
      <c r="G67" s="8">
        <v>12</v>
      </c>
      <c r="H67" s="8">
        <v>6000</v>
      </c>
    </row>
    <row r="68" spans="1:8" outlineLevel="3" x14ac:dyDescent="0.4">
      <c r="A68" s="2">
        <v>52</v>
      </c>
      <c r="B68" s="7">
        <v>44725</v>
      </c>
      <c r="C68" s="2" t="s">
        <v>42</v>
      </c>
      <c r="D68" s="2" t="s">
        <v>43</v>
      </c>
      <c r="E68" s="2" t="s">
        <v>44</v>
      </c>
      <c r="F68" s="8">
        <v>800</v>
      </c>
      <c r="G68" s="8">
        <v>34</v>
      </c>
      <c r="H68" s="8">
        <v>27200</v>
      </c>
    </row>
    <row r="69" spans="1:8" outlineLevel="3" x14ac:dyDescent="0.4">
      <c r="A69" s="2">
        <v>56</v>
      </c>
      <c r="B69" s="7">
        <v>44730</v>
      </c>
      <c r="C69" s="2" t="s">
        <v>42</v>
      </c>
      <c r="D69" s="2" t="s">
        <v>56</v>
      </c>
      <c r="E69" s="2" t="s">
        <v>54</v>
      </c>
      <c r="F69" s="8">
        <v>500</v>
      </c>
      <c r="G69" s="8">
        <v>38</v>
      </c>
      <c r="H69" s="8">
        <v>19000</v>
      </c>
    </row>
    <row r="70" spans="1:8" outlineLevel="2" x14ac:dyDescent="0.4">
      <c r="A70" s="10"/>
      <c r="B70" s="12"/>
      <c r="C70" s="14" t="s">
        <v>65</v>
      </c>
      <c r="D70" s="10"/>
      <c r="E70" s="10"/>
      <c r="F70" s="13"/>
      <c r="G70" s="13">
        <f>SUBTOTAL(1,G55:G69)</f>
        <v>27</v>
      </c>
      <c r="H70" s="13">
        <f>SUBTOTAL(1,H55:H69)</f>
        <v>16386.666666666668</v>
      </c>
    </row>
    <row r="71" spans="1:8" outlineLevel="1" x14ac:dyDescent="0.4">
      <c r="A71" s="10"/>
      <c r="B71" s="12"/>
      <c r="C71" s="14" t="s">
        <v>60</v>
      </c>
      <c r="D71" s="10"/>
      <c r="E71" s="10"/>
      <c r="F71" s="13"/>
      <c r="G71" s="13">
        <f>SUBTOTAL(9,G55:G69)</f>
        <v>405</v>
      </c>
      <c r="H71" s="13">
        <f>SUBTOTAL(9,H55:H69)</f>
        <v>245800</v>
      </c>
    </row>
    <row r="72" spans="1:8" x14ac:dyDescent="0.4">
      <c r="A72" s="10"/>
      <c r="B72" s="12"/>
      <c r="C72" s="14" t="s">
        <v>66</v>
      </c>
      <c r="D72" s="10"/>
      <c r="E72" s="10"/>
      <c r="F72" s="13"/>
      <c r="G72" s="13">
        <f>SUBTOTAL(1,G4:G69)</f>
        <v>27.716666666666665</v>
      </c>
      <c r="H72" s="13">
        <f>SUBTOTAL(1,H4:H69)</f>
        <v>16758.333333333332</v>
      </c>
    </row>
    <row r="73" spans="1:8" x14ac:dyDescent="0.4">
      <c r="A73" s="10"/>
      <c r="B73" s="12"/>
      <c r="C73" s="14" t="s">
        <v>61</v>
      </c>
      <c r="D73" s="10"/>
      <c r="E73" s="10"/>
      <c r="F73" s="13"/>
      <c r="G73" s="13">
        <f>SUBTOTAL(9,G4:G69)</f>
        <v>1663</v>
      </c>
      <c r="H73" s="13">
        <f>SUBTOTAL(9,H4:H69)</f>
        <v>1005500</v>
      </c>
    </row>
  </sheetData>
  <sortState xmlns:xlrd2="http://schemas.microsoft.com/office/spreadsheetml/2017/richdata2" ref="A4:H69">
    <sortCondition ref="C4:C69"/>
  </sortState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並べ替えとフィルター</vt:lpstr>
      <vt:lpstr>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AZRIZ DANIAL BIN AHMAD RIZAL(s25t358)</cp:lastModifiedBy>
  <dcterms:created xsi:type="dcterms:W3CDTF">2022-04-01T04:35:51Z</dcterms:created>
  <dcterms:modified xsi:type="dcterms:W3CDTF">2025-05-21T06:49:11Z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2021-11-11T05:28:37Z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d75510cf-1b73-4f66-a807-8f3a6dae9e86</vt:lpwstr>
  </property>
  <property fmtid="{D5CDD505-2E9C-101B-9397-08002B2CF9AE}" pid="8" name="MSIP_Label_a7295cc1-d279-42ac-ab4d-3b0f4fece050_ContentBits">
    <vt:lpwstr>0</vt:lpwstr>
  </property>
</Properties>
</file>